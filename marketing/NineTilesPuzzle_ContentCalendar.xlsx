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Summary" sheetId="2" state="visible" r:id="rId4"/>
    <sheet name="Video Shot Lists" sheetId="3" state="visible" r:id="rId5"/>
  </sheets>
  <definedNames>
    <definedName function="false" hidden="true" localSheetId="0" name="_xlnm._FilterDatabase" vbProcedure="false">Calendar!$A$1:$H$54</definedName>
    <definedName function="false" hidden="true" localSheetId="2" name="_xlnm._FilterDatabase" vbProcedure="false">'Video Shot Lists'!$A$1:$H$18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<sst xmlns="http://schemas.openxmlformats.org/spreadsheetml/2006/main" count="530" uniqueCount="248">
  <si>
    <t xml:space="preserve">Date</t>
  </si>
  <si>
    <t xml:space="preserve">Day</t>
  </si>
  <si>
    <t xml:space="preserve">Phase</t>
  </si>
  <si>
    <t xml:space="preserve">Platform(s)</t>
  </si>
  <si>
    <t xml:space="preserve">Content type</t>
  </si>
  <si>
    <t xml:space="preserve">Content idea / hook</t>
  </si>
  <si>
    <t xml:space="preserve">Caption angle &amp; CTA</t>
  </si>
  <si>
    <t xml:space="preserve">Status</t>
  </si>
  <si>
    <t xml:space="preserve">Mon</t>
  </si>
  <si>
    <t xml:space="preserve">Phase 1 - Foundation</t>
  </si>
  <si>
    <t xml:space="preserve">All</t>
  </si>
  <si>
    <t xml:space="preserve">Setup</t>
  </si>
  <si>
    <t xml:space="preserve">Create/clean up profiles (TikTok, IG, YouTube, X, LinkedIn, FB Page); same icon + bio + landing-page link everywhere</t>
  </si>
  <si>
    <t xml:space="preserve">n/a - setup task</t>
  </si>
  <si>
    <t xml:space="preserve">Not started</t>
  </si>
  <si>
    <t xml:space="preserve">Product Hunt</t>
  </si>
  <si>
    <t xml:space="preserve">Claim maker profile + “coming soon” page (start now - needs the longest lead time)</t>
  </si>
  <si>
    <t xml:space="preserve">Tue</t>
  </si>
  <si>
    <t xml:space="preserve">Reddit</t>
  </si>
  <si>
    <t xml:space="preserve">Community</t>
  </si>
  <si>
    <t xml:space="preserve">Start genuinely participating in target subs (r/TestFlight, r/iOSBeta, r/IndieDev, r/SideProject, r/iosgaming) - comment, don't post yet</t>
  </si>
  <si>
    <t xml:space="preserve">n/a - reputation building</t>
  </si>
  <si>
    <t xml:space="preserve">TikTok + IG Reels + YT Shorts</t>
  </si>
  <si>
    <t xml:space="preserve">Video</t>
  </si>
  <si>
    <t xml:space="preserve">Satisfying reveal #1: scramble-to-solve time-lapse of a random photo, trending audio, no talking</t>
  </si>
  <si>
    <t xml:space="preserve">Free beta - keep it forever. Link in bio.</t>
  </si>
  <si>
    <t xml:space="preserve">Wed</t>
  </si>
  <si>
    <t xml:space="preserve">X</t>
  </si>
  <si>
    <t xml:space="preserve">Post</t>
  </si>
  <si>
    <t xml:space="preserve">Announcement: preorders are open on the App Store</t>
  </si>
  <si>
    <t xml:space="preserve">apps.apple.com/app/id6776386637 - #buildinpublic #indiedev</t>
  </si>
  <si>
    <t xml:space="preserve">LinkedIn</t>
  </si>
  <si>
    <t xml:space="preserve">Founder post: launching a solo-built iOS puzzle game, preorders open</t>
  </si>
  <si>
    <t xml:space="preserve">apps.apple.com/app/id6776386637</t>
  </si>
  <si>
    <t xml:space="preserve">Thu</t>
  </si>
  <si>
    <t xml:space="preserve">Mode spotlight 1/7: Slide</t>
  </si>
  <si>
    <t xml:space="preserve">Free beta - link in bio, keep it forever</t>
  </si>
  <si>
    <t xml:space="preserve">Fri</t>
  </si>
  <si>
    <t xml:space="preserve">Facebook</t>
  </si>
  <si>
    <t xml:space="preserve">Setup + post</t>
  </si>
  <si>
    <t xml:space="preserve">Create Page, cross-post satisfying reveal clip; identify 2-3 relevant Groups to join</t>
  </si>
  <si>
    <t xml:space="preserve">Sat</t>
  </si>
  <si>
    <t xml:space="preserve">Free-forever hook: text-over-video - join the beta now, keep the full app free forever</t>
  </si>
  <si>
    <t xml:space="preserve">testflight.apple.com/join/7FvEWNPR</t>
  </si>
  <si>
    <t xml:space="preserve">Sun</t>
  </si>
  <si>
    <t xml:space="preserve">Build-in-public: a SwiftUI/design decision behind one of the 7 modes</t>
  </si>
  <si>
    <t xml:space="preserve">#SwiftUI #indiedev #iosdev</t>
  </si>
  <si>
    <t xml:space="preserve">Phase 2 - Beta push</t>
  </si>
  <si>
    <t xml:space="preserve">r/TestFlight - seeking beta testers post</t>
  </si>
  <si>
    <t xml:space="preserve">Mode spotlight 2/7: Swap</t>
  </si>
  <si>
    <t xml:space="preserve">Free beta - link in bio</t>
  </si>
  <si>
    <t xml:space="preserve">Poll: which mode looks the most fun? (with clip)</t>
  </si>
  <si>
    <t xml:space="preserve">#indiedev</t>
  </si>
  <si>
    <t xml:space="preserve">r/iOSBeta - beta invite post (check thread format/rules first)</t>
  </si>
  <si>
    <t xml:space="preserve">Satisfying reveal #2: different photo genre (e.g. a pet photo)</t>
  </si>
  <si>
    <t xml:space="preserve">Behind-the-scenes: solo-dev workspace / Xcode timelapse building a feature</t>
  </si>
  <si>
    <t xml:space="preserve">Building this solo with SwiftUI - beta's open, link in bio</t>
  </si>
  <si>
    <t xml:space="preserve">Founder update: beta is open, what I've learned so far</t>
  </si>
  <si>
    <t xml:space="preserve">Group post</t>
  </si>
  <si>
    <t xml:space="preserve">Share a clip in 1-2 relevant Groups (mobile puzzle-game fans, iOS app communities) - follow each group's rules</t>
  </si>
  <si>
    <t xml:space="preserve">Mode spotlight 3/7: Time Trial + Gauntlet Ladder</t>
  </si>
  <si>
    <t xml:space="preserve">Dev-log: a bug/challenge solved this week</t>
  </si>
  <si>
    <t xml:space="preserve">#buildinpublic #iosdev</t>
  </si>
  <si>
    <t xml:space="preserve">Daily Challenge feature: one seeded puzzle a day + streak calendar</t>
  </si>
  <si>
    <t xml:space="preserve">r/IndieDev or r/SideProject - “I built a sliding-puzzle app solo with SwiftUI” story post</t>
  </si>
  <si>
    <t xml:space="preserve">Chaos mode reveal: source image recolored/mirrored/flipped before you see it</t>
  </si>
  <si>
    <t xml:space="preserve">Milestone: beta-tester count / early feedback highlights</t>
  </si>
  <si>
    <t xml:space="preserve">Phase 3 - Spotlights &amp; outreach</t>
  </si>
  <si>
    <t xml:space="preserve">Beta-tester quote/reaction shoutout</t>
  </si>
  <si>
    <t xml:space="preserve">Mode spotlight 4/7: Haze (fog reveal, shake to peek)</t>
  </si>
  <si>
    <t xml:space="preserve">Outreach</t>
  </si>
  <si>
    <t xml:space="preserve">Email/DM</t>
  </si>
  <si>
    <t xml:space="preserve">Send personal notes to a handful of iOS newsletters + small YouTubers/TikTokers covering indie apps/puzzle games, with TestFlight link + best clips</t>
  </si>
  <si>
    <t xml:space="preserve">Achievements &amp; Wall of Fame showcase (39 achievements, pinned record cards)</t>
  </si>
  <si>
    <t xml:space="preserve">r/iosgaming - gameplay clip + a couple of beta-tester reactions</t>
  </si>
  <si>
    <t xml:space="preserve">Widgets + Live Activity demo (Lock Screen / Dynamic Island)</t>
  </si>
  <si>
    <t xml:space="preserve">Founder post: finishing touches before launch, what's shipped so far</t>
  </si>
  <si>
    <t xml:space="preserve">Prep</t>
  </si>
  <si>
    <t xml:space="preserve">Finalize gallery images, tagline, and draft the maker's first comment</t>
  </si>
  <si>
    <t xml:space="preserve">n/a - prep task</t>
  </si>
  <si>
    <t xml:space="preserve">Phase 4 - Countdown</t>
  </si>
  <si>
    <t xml:space="preserve">Countdown: 7 days to launch</t>
  </si>
  <si>
    <t xml:space="preserve">testflight.apple.com/join/7FvEWNPR (last week for the free-forever hook)</t>
  </si>
  <si>
    <t xml:space="preserve">“9 days left” style countdown + preorder reminder</t>
  </si>
  <si>
    <t xml:space="preserve">apps.apple.com/app/id6776386637 - preorder now</t>
  </si>
  <si>
    <t xml:space="preserve">Post + group</t>
  </si>
  <si>
    <t xml:space="preserve">Countdown post to Page + relevant Groups</t>
  </si>
  <si>
    <t xml:space="preserve">Speed-solve challenge: “beat my time” (duet/stitch bait)</t>
  </si>
  <si>
    <t xml:space="preserve">Free beta closes at launch - link in bio</t>
  </si>
  <si>
    <t xml:space="preserve">Message the 10-15 people who'll check the listing in the first hour of launch day</t>
  </si>
  <si>
    <t xml:space="preserve">n/a - do this today, not the night before</t>
  </si>
  <si>
    <t xml:space="preserve">Final beta-tester call across active threads/subs before launch</t>
  </si>
  <si>
    <t xml:space="preserve">Beta-tester testimonial/highlight-reel compilation</t>
  </si>
  <si>
    <t xml:space="preserve">Launching Monday - link in bio</t>
  </si>
  <si>
    <t xml:space="preserve">“2 days to launch” founder post</t>
  </si>
  <si>
    <t xml:space="preserve">Launch-eve hype post: “tomorrow it's live”</t>
  </si>
  <si>
    <t xml:space="preserve">Launch</t>
  </si>
  <si>
    <t xml:space="preserve">Submit listing at 8:00 AM UK time (12:01 AM PT reset); post maker's first comment immediately</t>
  </si>
  <si>
    <t xml:space="preserve">Ask people to check it out &amp; share feedback - never 'please upvote'</t>
  </si>
  <si>
    <t xml:space="preserve">All bios/links</t>
  </si>
  <si>
    <t xml:space="preserve">Update</t>
  </si>
  <si>
    <t xml:space="preserve">Switch every bio/CTA link from TestFlight to the App Store</t>
  </si>
  <si>
    <t xml:space="preserve">Launch day announcement - it's live</t>
  </si>
  <si>
    <t xml:space="preserve">Download now - apps.apple.com/app/id6776386637</t>
  </si>
  <si>
    <t xml:space="preserve">Launch post + live-tweet Product Hunt progress through the day</t>
  </si>
  <si>
    <t xml:space="preserve">Link to PH listing + App Store</t>
  </si>
  <si>
    <t xml:space="preserve">Launch announcement where community rules allow (avoid duplicate text across subs)</t>
  </si>
  <si>
    <t xml:space="preserve">LinkedIn + Facebook</t>
  </si>
  <si>
    <t xml:space="preserve">Launch announcement, native wording per platform</t>
  </si>
  <si>
    <t xml:space="preserve">Engagement</t>
  </si>
  <si>
    <t xml:space="preserve">Reply to every comment on PH, Reddit, and social posts throughout the day</t>
  </si>
  <si>
    <t xml:space="preserve">n/a - full-day priority</t>
  </si>
  <si>
    <t xml:space="preserve">Post-launch</t>
  </si>
  <si>
    <t xml:space="preserve">Thank-you post to beta testers and early supporters (tag with permission)</t>
  </si>
  <si>
    <t xml:space="preserve">n/a</t>
  </si>
  <si>
    <t xml:space="preserve">X + LinkedIn</t>
  </si>
  <si>
    <t xml:space="preserve">Product Hunt results recap - final ranking, what happened</t>
  </si>
  <si>
    <t xml:space="preserve">Post-launch highlight reel / thank you</t>
  </si>
  <si>
    <t xml:space="preserve">Leave a review if you're enjoying it! apps.apple.com/app/id6776386637</t>
  </si>
  <si>
    <t xml:space="preserve">Ask</t>
  </si>
  <si>
    <t xml:space="preserve">Direct review ask to players who've been active a few days (once, not repeatedly)</t>
  </si>
  <si>
    <t xml:space="preserve">Build-in-public recap: “we launched, here's what happened”</t>
  </si>
  <si>
    <t xml:space="preserve">9 Tiles Puzzle - Campaign Summary</t>
  </si>
  <si>
    <t xml:space="preserve">Mon Aug 24 - Mon Sep 28, 2026 (5 weeks) + post-launch week</t>
  </si>
  <si>
    <t xml:space="preserve">By status</t>
  </si>
  <si>
    <t xml:space="preserve">Scheduled</t>
  </si>
  <si>
    <t xml:space="preserve">Posted</t>
  </si>
  <si>
    <t xml:space="preserve">Skipped</t>
  </si>
  <si>
    <t xml:space="preserve">Total items</t>
  </si>
  <si>
    <t xml:space="preserve">By phase</t>
  </si>
  <si>
    <t xml:space="preserve">By platform (contains-match; a row may count toward multiple)</t>
  </si>
  <si>
    <t xml:space="preserve">TikTok</t>
  </si>
  <si>
    <t xml:space="preserve">IG Reels</t>
  </si>
  <si>
    <t xml:space="preserve">YT Shorts</t>
  </si>
  <si>
    <t xml:space="preserve">Video Title</t>
  </si>
  <si>
    <t xml:space="preserve">Length</t>
  </si>
  <si>
    <t xml:space="preserve">What to record (shot list)</t>
  </si>
  <si>
    <t xml:space="preserve">On-screen text &amp; timing</t>
  </si>
  <si>
    <t xml:space="preserve">Music vibe</t>
  </si>
  <si>
    <t xml:space="preserve">Editing notes</t>
  </si>
  <si>
    <t xml:space="preserve">Caption (copy-paste)</t>
  </si>
  <si>
    <t xml:space="preserve">Satisfying Reveal #1</t>
  </si>
  <si>
    <t xml:space="preserve">10-15s</t>
  </si>
  <si>
    <t xml:space="preserve">Pick a vivid, high-contrast photo ahead of time (via the Photos-library source, not a random fetch, so it reads well small). Screen-record: 1s on the intact photo, the shuffle into a 4x4/5x5 grid, then a smooth practiced solve. Take 2-3 tries, keep the cleanest.</t>
  </si>
  <si>
    <t xml:space="preserve">None for first 8s - let the visual carry it. Last 2s: 'Free beta - link in bio, keep it forever' in accent orange (#FF8A3D).</t>
  </si>
  <si>
    <t xml:space="preserve">Upbeat trending 'satisfying' audio - check TikTok Trending Sounds the day you post.</t>
  </si>
  <si>
    <t xml:space="preserve">Speed up the shuffle 2x. Real time (or a hair of slow-mo) on the final few moves of the solve so the 'aha' lands. Hard cut, hold 1s on the completed image before the CTA card.</t>
  </si>
  <si>
    <t xml:space="preserve">Watch this come back together. Free beta open now - keep the full app forever if you test it. Link in bio. #satisfying #puzzle #iosgames #mobilegame #indiedev</t>
  </si>
  <si>
    <t xml:space="preserve">Mode Spotlight: Slide</t>
  </si>
  <si>
    <t xml:space="preserve">15-20s</t>
  </si>
  <si>
    <t xml:space="preserve">Open Slide mode. Solve a few tiles normally, then deliberately nudge an already-placed tile to show the twist, finish the solve.</t>
  </si>
  <si>
    <t xml:space="preserve">0-1s title card 'SLIDE MODE'. Caption timed to the nudge: 'tiles you've placed... can still move'.</t>
  </si>
  <si>
    <t xml:space="preserve">Clean, mid-energy beat - start of a consistent 'mode spotlight' music family.</t>
  </si>
  <si>
    <t xml:space="preserve">Briefly slow down right as you nudge the placed tile so it reads clearly; real time otherwise.</t>
  </si>
  <si>
    <t xml:space="preserve">Mode 1 of 7: Slide. Even the tiles you've already placed aren't totally safe. Free beta - link in bio. #iosgames #puzzlegame #indiedev</t>
  </si>
  <si>
    <t xml:space="preserve">Free Forever Hook</t>
  </si>
  <si>
    <t xml:space="preserve">8-12s</t>
  </si>
  <si>
    <t xml:space="preserve">Fast montage - reuse 2-3 clips from the first satisfying reveal as backdrop. No new gameplay needed.</t>
  </si>
  <si>
    <t xml:space="preserve">Text-driven: 'Beta testers keep the FULL APP' -&gt; 'FREE. FOREVER.' -&gt; 'Link in bio'. Text is the star, gameplay is backdrop.</t>
  </si>
  <si>
    <t xml:space="preserve">Upbeat, with text timed to hit on the beat.</t>
  </si>
  <si>
    <t xml:space="preserve">Cut on the beat; keep each text card on screen ~1s.</t>
  </si>
  <si>
    <t xml:space="preserve">The best time to try 9 Tiles Puzzle is before it launches. Beta testers keep the full app free, forever. Link in bio. #iosdev #indiedev #freeapp</t>
  </si>
  <si>
    <t xml:space="preserve">Mode Spotlight: Swap</t>
  </si>
  <si>
    <t xml:space="preserve">Open Swap mode. Show swapping two tiles, then a correct tile locking permanently the moment it lands right.</t>
  </si>
  <si>
    <t xml:space="preserve">Title card 'SWAP MODE'. Caption: 'swap any two tiles' then 'get it right and it locks - for good'.</t>
  </si>
  <si>
    <t xml:space="preserve">Same clean mid-energy family as Slide, for series consistency.</t>
  </si>
  <si>
    <t xml:space="preserve">Quick zoom/flash the instant a tile locks in place.</t>
  </si>
  <si>
    <t xml:space="preserve">Mode 2 of 7: Swap - land a tile correctly and it's locked in for good. Free beta, link in bio. #puzzlegame #iosgames</t>
  </si>
  <si>
    <t xml:space="preserve">Satisfying Reveal #2</t>
  </si>
  <si>
    <t xml:space="preserve">Same format as Reveal #1, different photo genre for variety (e.g. a pet or food photo - different color palette).</t>
  </si>
  <si>
    <t xml:space="preserve">Same as Reveal #1.</t>
  </si>
  <si>
    <t xml:space="preserve">A different trending track than Reveal #1 - don't repeat audio back to back.</t>
  </si>
  <si>
    <t xml:space="preserve">Repeat the proven structure from Reveal #1 exactly.</t>
  </si>
  <si>
    <t xml:space="preserve">Round two. Free beta - link in bio, keep it forever. #satisfying #puzzle #mobilegame #indiedev</t>
  </si>
  <si>
    <t xml:space="preserve">Behind the Scenes: Building It</t>
  </si>
  <si>
    <t xml:space="preserve">15-25s</t>
  </si>
  <si>
    <t xml:space="preserve">Screen-record a short Xcode session - real SwiftUI code, running the simulator. Optional: a couple seconds of you on camera if comfortable.</t>
  </si>
  <si>
    <t xml:space="preserve">'Building this solo.' then one concrete detail, e.g. 'Swift 6, SwiftUI, no third-party UI libraries.'</t>
  </si>
  <si>
    <t xml:space="preserve">Calmer, lo-fi/coding-vibe track.</t>
  </si>
  <si>
    <t xml:space="preserve">Speed-ramp the typing/scrolling 3-4x; real time on the simulator running the feature.</t>
  </si>
  <si>
    <t xml:space="preserve">Solo dev diary: building 9 Tiles Puzzle in SwiftUI. Beta's open if you want to help test - link in bio. #buildinpublic #indiedev #SwiftUI #iosdev</t>
  </si>
  <si>
    <t xml:space="preserve">Mode Spotlight: Time Trial</t>
  </si>
  <si>
    <t xml:space="preserve">Show the countdown timer under pressure, then cut to the Gauntlet Ladder screen (the 10-stage climb).</t>
  </si>
  <si>
    <t xml:space="preserve">'TIME TRIAL' then 'Gauntlet Ladder: 10 stages'.</t>
  </si>
  <si>
    <t xml:space="preserve">Higher-energy, tense track matching the time pressure.</t>
  </si>
  <si>
    <t xml:space="preserve">Slight speed-up on the clock ticking to build tension; real time on the actual solve.</t>
  </si>
  <si>
    <t xml:space="preserve">Mode 3 of 7: Time Trial. Beat the clock, then climb all 10 stages of the Gauntlet Ladder. Free beta, link in bio. #iosgames #puzzlegame</t>
  </si>
  <si>
    <t xml:space="preserve">Daily Challenge</t>
  </si>
  <si>
    <t xml:space="preserve">Open Daily Challenge, solve the day's puzzle, then show the calendar view with the streak marked.</t>
  </si>
  <si>
    <t xml:space="preserve">'One puzzle. Every day.' then 'track your streak'.</t>
  </si>
  <si>
    <t xml:space="preserve">Warm, steady mid-tempo track.</t>
  </si>
  <si>
    <t xml:space="preserve">Real time throughout; brief pause/zoom on the calendar streak.</t>
  </si>
  <si>
    <t xml:space="preserve">One seeded puzzle a day, and a calendar to track (or replay) your streak. Free beta, link in bio. #dailychallenge #iosgames #puzzlegame</t>
  </si>
  <si>
    <t xml:space="preserve">Chaos Mode Reveal</t>
  </si>
  <si>
    <t xml:space="preserve">Start the mode, capture the moment the photo turns out recolored/mirrored/flipped from what you expected, then the solve.</t>
  </si>
  <si>
    <t xml:space="preserve">Minimal - just a 'CHAOS MODE' title card, then nothing until the CTA. Let the twist speak for itself.</t>
  </si>
  <si>
    <t xml:space="preserve">A track with a hard 'drop' timed to the recolor/mirror reveal.</t>
  </si>
  <si>
    <t xml:space="preserve">Hard cut or glitch-style transition right at the reveal for maximum surprise.</t>
  </si>
  <si>
    <t xml:space="preserve">Mode 7 of 7: Chaos. You don't even know what the photo looks like until it's too late. Free beta, link in bio. #puzzlegame #iosgames #satisfying</t>
  </si>
  <si>
    <t xml:space="preserve">Mode Spotlight: Haze</t>
  </si>
  <si>
    <t xml:space="preserve">Show tiles obscured by drifting fog, physically shake the phone on camera to reveal briefly, keep solving mostly blind.</t>
  </si>
  <si>
    <t xml:space="preserve">'HAZE MODE' then 'shake to peek'.</t>
  </si>
  <si>
    <t xml:space="preserve">Moody/ambient into a beat drop right as you shake.</t>
  </si>
  <si>
    <t xml:space="preserve">Quick zoom/flash on the shake moment.</t>
  </si>
  <si>
    <t xml:space="preserve">Mode 4 of 7: Haze. The tiles hide behind fog - shake your phone to peek. Free beta, link in bio. #iosgames #puzzlegame</t>
  </si>
  <si>
    <t xml:space="preserve">Achievements &amp; Wall of Fame</t>
  </si>
  <si>
    <t xml:space="preserve">Capture an achievement unlocking (toast/animation), then pan the Wall of Fame cork board of pinned record cards - flick one to show its swing physics.</t>
  </si>
  <si>
    <t xml:space="preserve">'39 achievements' then 'Wall of Fame - your best records, pinned'.</t>
  </si>
  <si>
    <t xml:space="preserve">Celebratory, rewarding track.</t>
  </si>
  <si>
    <t xml:space="preserve">Slow-mo on the achievement unlock animation; real time flicking a Wall of Fame card.</t>
  </si>
  <si>
    <t xml:space="preserve">39 achievements to unlock, plus a Wall of Fame for your best records - physics and all. Free beta, link in bio. #iosgames #achievements</t>
  </si>
  <si>
    <t xml:space="preserve">Widgets + Live Activity</t>
  </si>
  <si>
    <t xml:space="preserve">Record from the Lock Screen showing the Live Activity / Dynamic Island tracking an in-progress puzzle, then swipe home and show the 3 widgets (Daily Challenge, Streaks &amp; Records, Resume Game).</t>
  </si>
  <si>
    <t xml:space="preserve">'Track your puzzle from the Lock Screen' then '3 home screen widgets'.</t>
  </si>
  <si>
    <t xml:space="preserve">Clean, modern tech-demo style track.</t>
  </si>
  <si>
    <t xml:space="preserve">Real time; end on tapping a widget to deep-link back into the game.</t>
  </si>
  <si>
    <t xml:space="preserve">Your puzzle, tracked from the Lock Screen and Dynamic Island - plus 3 home screen widgets. Free beta, link in bio. #iosgames #widgets #iOS26</t>
  </si>
  <si>
    <t xml:space="preserve">Countdown / Preorder Reminder</t>
  </si>
  <si>
    <t xml:space="preserve">Quick highlight montage reusing your best clips so far - no new filming required.</t>
  </si>
  <si>
    <t xml:space="preserve">'9 days.' then '9 Tiles Puzzle' then 'Preorder now - link in bio'.</t>
  </si>
  <si>
    <t xml:space="preserve">Building, anticipatory track.</t>
  </si>
  <si>
    <t xml:space="preserve">Cut on the beat; text-forward, gameplay as backdrop.</t>
  </si>
  <si>
    <t xml:space="preserve">9 days until launch. Preorder now, link in bio. #iosgames #launchday #indiedev</t>
  </si>
  <si>
    <t xml:space="preserve">Speed-Solve Challenge</t>
  </si>
  <si>
    <t xml:space="preserve">Record a genuinely fast, clean solve with the in-game timer visible on screen.</t>
  </si>
  <si>
    <t xml:space="preserve">'My time: [X.XX]s' then 'beat it?' as a duet/stitch prompt.</t>
  </si>
  <si>
    <t xml:space="preserve">High-energy track suited to a challenge format.</t>
  </si>
  <si>
    <t xml:space="preserve">Keep it real-time so the time is legitimate; optional slow-mo replay of just the final move.</t>
  </si>
  <si>
    <t xml:space="preserve">My best time - think you can beat it? Duet this with your run. Free beta, link in bio. #speedrun #puzzlegame #challenge</t>
  </si>
  <si>
    <t xml:space="preserve">Beta Tester Highlight Reel</t>
  </si>
  <si>
    <t xml:space="preserve">20-30s</t>
  </si>
  <si>
    <t xml:space="preserve">Compile 3-5 short clips or quotes from real beta testers (get their OK first) - their gameplay, or text-over-video of what they told you.</t>
  </si>
  <si>
    <t xml:space="preserve">Each tester's quote as its own caption card; first names only unless they're happy to be tagged.</t>
  </si>
  <si>
    <t xml:space="preserve">Warm, community-feel track.</t>
  </si>
  <si>
    <t xml:space="preserve">Quick cuts between testers, ~3-5s each.</t>
  </si>
  <si>
    <t xml:space="preserve">What beta testers are saying. Launching Monday - link in bio. #buildinpublic #indiedev #betatest</t>
  </si>
  <si>
    <t xml:space="preserve">Launch Day Announcement</t>
  </si>
  <si>
    <t xml:space="preserve">Re-cut your best existing solve clip, or freshly record downloading/opening the app live from the App Store.</t>
  </si>
  <si>
    <t xml:space="preserve">'IT'S LIVE' then 'Download now - link in bio'.</t>
  </si>
  <si>
    <t xml:space="preserve">Celebratory, high-energy trending track.</t>
  </si>
  <si>
    <t xml:space="preserve">Fast cuts; confetti/celebration-style text animation if your editor has one.</t>
  </si>
  <si>
    <t xml:space="preserve">9 Tiles Puzzle is live on the App Store. Download now, link in bio. #launchday #iosgames #newapp</t>
  </si>
  <si>
    <t xml:space="preserve">Post-Launch Thank You</t>
  </si>
  <si>
    <t xml:space="preserve">A calmer, more personal clip - optionally you on camera, or text over a montage of the campaign's best moments.</t>
  </si>
  <si>
    <t xml:space="preserve">'Thank you.' then 'If you're enjoying it, a review means everything' then the App Store link.</t>
  </si>
  <si>
    <t xml:space="preserve">Warm, low-key track.</t>
  </si>
  <si>
    <t xml:space="preserve">Slower pacing than launch day; montage of highlights from the whole campaign.</t>
  </si>
  <si>
    <t xml:space="preserve">Thank you to everyone who tested, shared, and downloaded. If you're enjoying 9 Tiles Puzzle, a review would mean a lot. Link in bio. #indiedev #iosgames #thankyou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</si>
</sst>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4"/>
      <color rgb="FF5B4FE9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5B4FE9"/>
        <bgColor rgb="FF333399"/>
      </patternFill>
    </fill>
    <fill>
      <patternFill patternType="solid">
        <fgColor rgb="FFE4E1FB"/>
        <bgColor rgb="FFEAEAEA"/>
      </patternFill>
    </fill>
    <fill>
      <patternFill patternType="solid">
        <fgColor rgb="FFDCEFFB"/>
        <bgColor rgb="FFDFF5E3"/>
      </patternFill>
    </fill>
    <fill>
      <patternFill patternType="solid">
        <fgColor rgb="FFDFF5E3"/>
        <bgColor rgb="FFDCEFFB"/>
      </patternFill>
    </fill>
    <fill>
      <patternFill patternType="solid">
        <fgColor rgb="FFFDEBD3"/>
        <bgColor rgb="FFEAEAEA"/>
      </patternFill>
    </fill>
    <fill>
      <patternFill patternType="solid">
        <fgColor rgb="FFFBD9D9"/>
        <bgColor rgb="FFFDEBD3"/>
      </patternFill>
    </fill>
    <fill>
      <patternFill patternType="solid">
        <fgColor rgb="FFEAEAEA"/>
        <bgColor rgb="FFE4E1FB"/>
      </patternFill>
    </fill>
    <fill>
      <patternFill patternType="solid">
        <fgColor rgb="FFFF8A3D"/>
        <bgColor rgb="FFFF8080"/>
      </patternFill>
    </fill>
    <fill>
      <patternFill patternType="solid">
        <fgColor rgb="FFF7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5B4FE9"/>
          <bgColor rgb="FF000000"/>
        </patternFill>
      </fill>
    </dxf>
    <dxf>
      <fill>
        <patternFill patternType="solid">
          <fgColor rgb="FFDCEFFB"/>
          <bgColor rgb="FF000000"/>
        </patternFill>
      </fill>
    </dxf>
    <dxf>
      <fill>
        <patternFill patternType="solid">
          <fgColor rgb="FFDFF5E3"/>
          <bgColor rgb="FF000000"/>
        </patternFill>
      </fill>
    </dxf>
    <dxf>
      <fill>
        <patternFill patternType="solid">
          <fgColor rgb="FFE4E1FB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FBD9D9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7FB"/>
          <bgColor rgb="FF000000"/>
        </patternFill>
      </fill>
    </dxf>
    <dxf>
      <fill>
        <patternFill patternType="solid">
          <fgColor rgb="FFFF8A3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E1FB"/>
      <rgbColor rgb="FF808080"/>
      <rgbColor rgb="FF9999FF"/>
      <rgbColor rgb="FF993366"/>
      <rgbColor rgb="FFFDEBD3"/>
      <rgbColor rgb="FFDCEFFB"/>
      <rgbColor rgb="FF660066"/>
      <rgbColor rgb="FFFF8080"/>
      <rgbColor rgb="FF0066CC"/>
      <rgbColor rgb="FFD8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FF5E3"/>
      <rgbColor rgb="FFF7F7FB"/>
      <rgbColor rgb="FF99CCFF"/>
      <rgbColor rgb="FFFF99CC"/>
      <rgbColor rgb="FFCC99FF"/>
      <rgbColor rgb="FFFBD9D9"/>
      <rgbColor rgb="FF5B4FE9"/>
      <rgbColor rgb="FF33CCCC"/>
      <rgbColor rgb="FF99CC00"/>
      <rgbColor rgb="FFFFCC00"/>
      <rgbColor rgb="FFFF8A3D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" hidden="false" customHeight="true" outlineLevel="0" collapsed="false">
      <c r="A2" s="2" t="n">
        <v>46258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30" hidden="false" customHeight="true" outlineLevel="0" collapsed="false">
      <c r="A3" s="2" t="n">
        <v>46258</v>
      </c>
      <c r="B3" s="3" t="s">
        <v>8</v>
      </c>
      <c r="C3" s="3" t="s">
        <v>9</v>
      </c>
      <c r="D3" s="3" t="s">
        <v>15</v>
      </c>
      <c r="E3" s="3" t="s">
        <v>11</v>
      </c>
      <c r="F3" s="3" t="s">
        <v>16</v>
      </c>
      <c r="G3" s="3" t="s">
        <v>13</v>
      </c>
      <c r="H3" s="3" t="s">
        <v>14</v>
      </c>
    </row>
    <row r="4" customFormat="false" ht="30" hidden="false" customHeight="true" outlineLevel="0" collapsed="false">
      <c r="A4" s="2" t="n">
        <v>46259</v>
      </c>
      <c r="B4" s="3" t="s">
        <v>17</v>
      </c>
      <c r="C4" s="3" t="s">
        <v>9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14</v>
      </c>
    </row>
    <row r="5" customFormat="false" ht="30" hidden="false" customHeight="true" outlineLevel="0" collapsed="false">
      <c r="A5" s="2" t="n">
        <v>46259</v>
      </c>
      <c r="B5" s="3" t="s">
        <v>17</v>
      </c>
      <c r="C5" s="3" t="s">
        <v>9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14</v>
      </c>
    </row>
    <row r="6" customFormat="false" ht="30" hidden="false" customHeight="true" outlineLevel="0" collapsed="false">
      <c r="A6" s="2" t="n">
        <v>46260</v>
      </c>
      <c r="B6" s="3" t="s">
        <v>26</v>
      </c>
      <c r="C6" s="3" t="s">
        <v>9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14</v>
      </c>
    </row>
    <row r="7" customFormat="false" ht="30" hidden="false" customHeight="true" outlineLevel="0" collapsed="false">
      <c r="A7" s="2" t="n">
        <v>46260</v>
      </c>
      <c r="B7" s="3" t="s">
        <v>26</v>
      </c>
      <c r="C7" s="3" t="s">
        <v>9</v>
      </c>
      <c r="D7" s="3" t="s">
        <v>31</v>
      </c>
      <c r="E7" s="3" t="s">
        <v>28</v>
      </c>
      <c r="F7" s="3" t="s">
        <v>32</v>
      </c>
      <c r="G7" s="3" t="s">
        <v>33</v>
      </c>
      <c r="H7" s="3" t="s">
        <v>14</v>
      </c>
    </row>
    <row r="8" customFormat="false" ht="30" hidden="false" customHeight="true" outlineLevel="0" collapsed="false">
      <c r="A8" s="2" t="n">
        <v>46261</v>
      </c>
      <c r="B8" s="3" t="s">
        <v>34</v>
      </c>
      <c r="C8" s="3" t="s">
        <v>9</v>
      </c>
      <c r="D8" s="3" t="s">
        <v>22</v>
      </c>
      <c r="E8" s="3" t="s">
        <v>23</v>
      </c>
      <c r="F8" s="3" t="s">
        <v>35</v>
      </c>
      <c r="G8" s="3" t="s">
        <v>36</v>
      </c>
      <c r="H8" s="3" t="s">
        <v>14</v>
      </c>
    </row>
    <row r="9" customFormat="false" ht="30" hidden="false" customHeight="true" outlineLevel="0" collapsed="false">
      <c r="A9" s="2" t="n">
        <v>46262</v>
      </c>
      <c r="B9" s="3" t="s">
        <v>37</v>
      </c>
      <c r="C9" s="3" t="s">
        <v>9</v>
      </c>
      <c r="D9" s="3" t="s">
        <v>38</v>
      </c>
      <c r="E9" s="3" t="s">
        <v>39</v>
      </c>
      <c r="F9" s="3" t="s">
        <v>40</v>
      </c>
      <c r="G9" s="3" t="s">
        <v>13</v>
      </c>
      <c r="H9" s="3" t="s">
        <v>14</v>
      </c>
    </row>
    <row r="10" customFormat="false" ht="30" hidden="false" customHeight="true" outlineLevel="0" collapsed="false">
      <c r="A10" s="2" t="n">
        <v>46263</v>
      </c>
      <c r="B10" s="3" t="s">
        <v>41</v>
      </c>
      <c r="C10" s="3" t="s">
        <v>9</v>
      </c>
      <c r="D10" s="3" t="s">
        <v>22</v>
      </c>
      <c r="E10" s="3" t="s">
        <v>23</v>
      </c>
      <c r="F10" s="3" t="s">
        <v>42</v>
      </c>
      <c r="G10" s="3" t="s">
        <v>43</v>
      </c>
      <c r="H10" s="3" t="s">
        <v>14</v>
      </c>
    </row>
    <row r="11" customFormat="false" ht="30" hidden="false" customHeight="true" outlineLevel="0" collapsed="false">
      <c r="A11" s="2" t="n">
        <v>46264</v>
      </c>
      <c r="B11" s="3" t="s">
        <v>44</v>
      </c>
      <c r="C11" s="3" t="s">
        <v>9</v>
      </c>
      <c r="D11" s="3" t="s">
        <v>27</v>
      </c>
      <c r="E11" s="3" t="s">
        <v>28</v>
      </c>
      <c r="F11" s="3" t="s">
        <v>45</v>
      </c>
      <c r="G11" s="3" t="s">
        <v>46</v>
      </c>
      <c r="H11" s="3" t="s">
        <v>14</v>
      </c>
    </row>
    <row r="12" customFormat="false" ht="30" hidden="false" customHeight="true" outlineLevel="0" collapsed="false">
      <c r="A12" s="4" t="n">
        <v>46265</v>
      </c>
      <c r="B12" s="5" t="s">
        <v>8</v>
      </c>
      <c r="C12" s="5" t="s">
        <v>47</v>
      </c>
      <c r="D12" s="5" t="s">
        <v>18</v>
      </c>
      <c r="E12" s="5" t="s">
        <v>28</v>
      </c>
      <c r="F12" s="5" t="s">
        <v>48</v>
      </c>
      <c r="G12" s="5" t="s">
        <v>43</v>
      </c>
      <c r="H12" s="5" t="s">
        <v>14</v>
      </c>
    </row>
    <row r="13" customFormat="false" ht="30" hidden="false" customHeight="true" outlineLevel="0" collapsed="false">
      <c r="A13" s="4" t="n">
        <v>46266</v>
      </c>
      <c r="B13" s="5" t="s">
        <v>17</v>
      </c>
      <c r="C13" s="5" t="s">
        <v>47</v>
      </c>
      <c r="D13" s="5" t="s">
        <v>22</v>
      </c>
      <c r="E13" s="5" t="s">
        <v>23</v>
      </c>
      <c r="F13" s="5" t="s">
        <v>49</v>
      </c>
      <c r="G13" s="5" t="s">
        <v>50</v>
      </c>
      <c r="H13" s="5" t="s">
        <v>14</v>
      </c>
    </row>
    <row r="14" customFormat="false" ht="30" hidden="false" customHeight="true" outlineLevel="0" collapsed="false">
      <c r="A14" s="4" t="n">
        <v>46267</v>
      </c>
      <c r="B14" s="5" t="s">
        <v>26</v>
      </c>
      <c r="C14" s="5" t="s">
        <v>47</v>
      </c>
      <c r="D14" s="5" t="s">
        <v>27</v>
      </c>
      <c r="E14" s="5" t="s">
        <v>28</v>
      </c>
      <c r="F14" s="5" t="s">
        <v>51</v>
      </c>
      <c r="G14" s="5" t="s">
        <v>52</v>
      </c>
      <c r="H14" s="5" t="s">
        <v>14</v>
      </c>
    </row>
    <row r="15" customFormat="false" ht="30" hidden="false" customHeight="true" outlineLevel="0" collapsed="false">
      <c r="A15" s="4" t="n">
        <v>46268</v>
      </c>
      <c r="B15" s="5" t="s">
        <v>34</v>
      </c>
      <c r="C15" s="5" t="s">
        <v>47</v>
      </c>
      <c r="D15" s="5" t="s">
        <v>18</v>
      </c>
      <c r="E15" s="5" t="s">
        <v>28</v>
      </c>
      <c r="F15" s="5" t="s">
        <v>53</v>
      </c>
      <c r="G15" s="5" t="s">
        <v>43</v>
      </c>
      <c r="H15" s="5" t="s">
        <v>14</v>
      </c>
    </row>
    <row r="16" customFormat="false" ht="30" hidden="false" customHeight="true" outlineLevel="0" collapsed="false">
      <c r="A16" s="4" t="n">
        <v>46268</v>
      </c>
      <c r="B16" s="5" t="s">
        <v>34</v>
      </c>
      <c r="C16" s="5" t="s">
        <v>47</v>
      </c>
      <c r="D16" s="5" t="s">
        <v>22</v>
      </c>
      <c r="E16" s="5" t="s">
        <v>23</v>
      </c>
      <c r="F16" s="5" t="s">
        <v>54</v>
      </c>
      <c r="G16" s="5" t="s">
        <v>36</v>
      </c>
      <c r="H16" s="5" t="s">
        <v>14</v>
      </c>
    </row>
    <row r="17" customFormat="false" ht="30" hidden="false" customHeight="true" outlineLevel="0" collapsed="false">
      <c r="A17" s="4" t="n">
        <v>46270</v>
      </c>
      <c r="B17" s="5" t="s">
        <v>41</v>
      </c>
      <c r="C17" s="5" t="s">
        <v>47</v>
      </c>
      <c r="D17" s="5" t="s">
        <v>22</v>
      </c>
      <c r="E17" s="5" t="s">
        <v>23</v>
      </c>
      <c r="F17" s="5" t="s">
        <v>55</v>
      </c>
      <c r="G17" s="5" t="s">
        <v>56</v>
      </c>
      <c r="H17" s="5" t="s">
        <v>14</v>
      </c>
    </row>
    <row r="18" customFormat="false" ht="30" hidden="false" customHeight="true" outlineLevel="0" collapsed="false">
      <c r="A18" s="4" t="n">
        <v>46271</v>
      </c>
      <c r="B18" s="5" t="s">
        <v>44</v>
      </c>
      <c r="C18" s="5" t="s">
        <v>47</v>
      </c>
      <c r="D18" s="5" t="s">
        <v>31</v>
      </c>
      <c r="E18" s="5" t="s">
        <v>28</v>
      </c>
      <c r="F18" s="5" t="s">
        <v>57</v>
      </c>
      <c r="G18" s="5" t="s">
        <v>43</v>
      </c>
      <c r="H18" s="5" t="s">
        <v>14</v>
      </c>
    </row>
    <row r="19" customFormat="false" ht="30" hidden="false" customHeight="true" outlineLevel="0" collapsed="false">
      <c r="A19" s="4" t="n">
        <v>46272</v>
      </c>
      <c r="B19" s="5" t="s">
        <v>8</v>
      </c>
      <c r="C19" s="5" t="s">
        <v>47</v>
      </c>
      <c r="D19" s="5" t="s">
        <v>38</v>
      </c>
      <c r="E19" s="5" t="s">
        <v>58</v>
      </c>
      <c r="F19" s="5" t="s">
        <v>59</v>
      </c>
      <c r="G19" s="5" t="s">
        <v>43</v>
      </c>
      <c r="H19" s="5" t="s">
        <v>14</v>
      </c>
    </row>
    <row r="20" customFormat="false" ht="30" hidden="false" customHeight="true" outlineLevel="0" collapsed="false">
      <c r="A20" s="4" t="n">
        <v>46273</v>
      </c>
      <c r="B20" s="5" t="s">
        <v>17</v>
      </c>
      <c r="C20" s="5" t="s">
        <v>47</v>
      </c>
      <c r="D20" s="5" t="s">
        <v>22</v>
      </c>
      <c r="E20" s="5" t="s">
        <v>23</v>
      </c>
      <c r="F20" s="5" t="s">
        <v>60</v>
      </c>
      <c r="G20" s="5" t="s">
        <v>50</v>
      </c>
      <c r="H20" s="5" t="s">
        <v>14</v>
      </c>
    </row>
    <row r="21" customFormat="false" ht="30" hidden="false" customHeight="true" outlineLevel="0" collapsed="false">
      <c r="A21" s="4" t="n">
        <v>46274</v>
      </c>
      <c r="B21" s="5" t="s">
        <v>26</v>
      </c>
      <c r="C21" s="5" t="s">
        <v>47</v>
      </c>
      <c r="D21" s="5" t="s">
        <v>27</v>
      </c>
      <c r="E21" s="5" t="s">
        <v>28</v>
      </c>
      <c r="F21" s="5" t="s">
        <v>61</v>
      </c>
      <c r="G21" s="5" t="s">
        <v>62</v>
      </c>
      <c r="H21" s="5" t="s">
        <v>14</v>
      </c>
    </row>
    <row r="22" customFormat="false" ht="30" hidden="false" customHeight="true" outlineLevel="0" collapsed="false">
      <c r="A22" s="4" t="n">
        <v>46275</v>
      </c>
      <c r="B22" s="5" t="s">
        <v>34</v>
      </c>
      <c r="C22" s="5" t="s">
        <v>47</v>
      </c>
      <c r="D22" s="5" t="s">
        <v>22</v>
      </c>
      <c r="E22" s="5" t="s">
        <v>23</v>
      </c>
      <c r="F22" s="5" t="s">
        <v>63</v>
      </c>
      <c r="G22" s="5" t="s">
        <v>36</v>
      </c>
      <c r="H22" s="5" t="s">
        <v>14</v>
      </c>
    </row>
    <row r="23" customFormat="false" ht="30" hidden="false" customHeight="true" outlineLevel="0" collapsed="false">
      <c r="A23" s="4" t="n">
        <v>46276</v>
      </c>
      <c r="B23" s="5" t="s">
        <v>37</v>
      </c>
      <c r="C23" s="5" t="s">
        <v>47</v>
      </c>
      <c r="D23" s="5" t="s">
        <v>18</v>
      </c>
      <c r="E23" s="5" t="s">
        <v>28</v>
      </c>
      <c r="F23" s="5" t="s">
        <v>64</v>
      </c>
      <c r="G23" s="5" t="s">
        <v>43</v>
      </c>
      <c r="H23" s="5" t="s">
        <v>14</v>
      </c>
    </row>
    <row r="24" customFormat="false" ht="30" hidden="false" customHeight="true" outlineLevel="0" collapsed="false">
      <c r="A24" s="4" t="n">
        <v>46277</v>
      </c>
      <c r="B24" s="5" t="s">
        <v>41</v>
      </c>
      <c r="C24" s="5" t="s">
        <v>47</v>
      </c>
      <c r="D24" s="5" t="s">
        <v>22</v>
      </c>
      <c r="E24" s="5" t="s">
        <v>23</v>
      </c>
      <c r="F24" s="5" t="s">
        <v>65</v>
      </c>
      <c r="G24" s="5" t="s">
        <v>50</v>
      </c>
      <c r="H24" s="5" t="s">
        <v>14</v>
      </c>
    </row>
    <row r="25" customFormat="false" ht="30" hidden="false" customHeight="true" outlineLevel="0" collapsed="false">
      <c r="A25" s="4" t="n">
        <v>46278</v>
      </c>
      <c r="B25" s="5" t="s">
        <v>44</v>
      </c>
      <c r="C25" s="5" t="s">
        <v>47</v>
      </c>
      <c r="D25" s="5" t="s">
        <v>31</v>
      </c>
      <c r="E25" s="5" t="s">
        <v>28</v>
      </c>
      <c r="F25" s="5" t="s">
        <v>66</v>
      </c>
      <c r="G25" s="5" t="s">
        <v>43</v>
      </c>
      <c r="H25" s="5" t="s">
        <v>14</v>
      </c>
    </row>
    <row r="26" customFormat="false" ht="30" hidden="false" customHeight="true" outlineLevel="0" collapsed="false">
      <c r="A26" s="6" t="n">
        <v>46279</v>
      </c>
      <c r="B26" s="7" t="s">
        <v>8</v>
      </c>
      <c r="C26" s="7" t="s">
        <v>67</v>
      </c>
      <c r="D26" s="7" t="s">
        <v>27</v>
      </c>
      <c r="E26" s="7" t="s">
        <v>28</v>
      </c>
      <c r="F26" s="7" t="s">
        <v>68</v>
      </c>
      <c r="G26" s="7" t="s">
        <v>52</v>
      </c>
      <c r="H26" s="7" t="s">
        <v>14</v>
      </c>
    </row>
    <row r="27" customFormat="false" ht="30" hidden="false" customHeight="true" outlineLevel="0" collapsed="false">
      <c r="A27" s="6" t="n">
        <v>46280</v>
      </c>
      <c r="B27" s="7" t="s">
        <v>17</v>
      </c>
      <c r="C27" s="7" t="s">
        <v>67</v>
      </c>
      <c r="D27" s="7" t="s">
        <v>22</v>
      </c>
      <c r="E27" s="7" t="s">
        <v>23</v>
      </c>
      <c r="F27" s="7" t="s">
        <v>69</v>
      </c>
      <c r="G27" s="7" t="s">
        <v>36</v>
      </c>
      <c r="H27" s="7" t="s">
        <v>14</v>
      </c>
    </row>
    <row r="28" customFormat="false" ht="30" hidden="false" customHeight="true" outlineLevel="0" collapsed="false">
      <c r="A28" s="6" t="n">
        <v>46281</v>
      </c>
      <c r="B28" s="7" t="s">
        <v>26</v>
      </c>
      <c r="C28" s="7" t="s">
        <v>67</v>
      </c>
      <c r="D28" s="7" t="s">
        <v>70</v>
      </c>
      <c r="E28" s="7" t="s">
        <v>71</v>
      </c>
      <c r="F28" s="7" t="s">
        <v>72</v>
      </c>
      <c r="G28" s="7" t="s">
        <v>43</v>
      </c>
      <c r="H28" s="7" t="s">
        <v>14</v>
      </c>
    </row>
    <row r="29" customFormat="false" ht="30" hidden="false" customHeight="true" outlineLevel="0" collapsed="false">
      <c r="A29" s="6" t="n">
        <v>46282</v>
      </c>
      <c r="B29" s="7" t="s">
        <v>34</v>
      </c>
      <c r="C29" s="7" t="s">
        <v>67</v>
      </c>
      <c r="D29" s="7" t="s">
        <v>22</v>
      </c>
      <c r="E29" s="7" t="s">
        <v>23</v>
      </c>
      <c r="F29" s="7" t="s">
        <v>73</v>
      </c>
      <c r="G29" s="7" t="s">
        <v>50</v>
      </c>
      <c r="H29" s="7" t="s">
        <v>14</v>
      </c>
    </row>
    <row r="30" customFormat="false" ht="30" hidden="false" customHeight="true" outlineLevel="0" collapsed="false">
      <c r="A30" s="6" t="n">
        <v>46283</v>
      </c>
      <c r="B30" s="7" t="s">
        <v>37</v>
      </c>
      <c r="C30" s="7" t="s">
        <v>67</v>
      </c>
      <c r="D30" s="7" t="s">
        <v>18</v>
      </c>
      <c r="E30" s="7" t="s">
        <v>28</v>
      </c>
      <c r="F30" s="7" t="s">
        <v>74</v>
      </c>
      <c r="G30" s="7" t="s">
        <v>43</v>
      </c>
      <c r="H30" s="7" t="s">
        <v>14</v>
      </c>
    </row>
    <row r="31" customFormat="false" ht="30" hidden="false" customHeight="true" outlineLevel="0" collapsed="false">
      <c r="A31" s="6" t="n">
        <v>46284</v>
      </c>
      <c r="B31" s="7" t="s">
        <v>41</v>
      </c>
      <c r="C31" s="7" t="s">
        <v>67</v>
      </c>
      <c r="D31" s="7" t="s">
        <v>22</v>
      </c>
      <c r="E31" s="7" t="s">
        <v>23</v>
      </c>
      <c r="F31" s="7" t="s">
        <v>75</v>
      </c>
      <c r="G31" s="7" t="s">
        <v>36</v>
      </c>
      <c r="H31" s="7" t="s">
        <v>14</v>
      </c>
    </row>
    <row r="32" customFormat="false" ht="30" hidden="false" customHeight="true" outlineLevel="0" collapsed="false">
      <c r="A32" s="6" t="n">
        <v>46285</v>
      </c>
      <c r="B32" s="7" t="s">
        <v>44</v>
      </c>
      <c r="C32" s="7" t="s">
        <v>67</v>
      </c>
      <c r="D32" s="7" t="s">
        <v>31</v>
      </c>
      <c r="E32" s="7" t="s">
        <v>28</v>
      </c>
      <c r="F32" s="7" t="s">
        <v>76</v>
      </c>
      <c r="G32" s="7" t="s">
        <v>33</v>
      </c>
      <c r="H32" s="7" t="s">
        <v>14</v>
      </c>
    </row>
    <row r="33" customFormat="false" ht="30" hidden="false" customHeight="true" outlineLevel="0" collapsed="false">
      <c r="A33" s="6" t="n">
        <v>46285</v>
      </c>
      <c r="B33" s="7" t="s">
        <v>44</v>
      </c>
      <c r="C33" s="7" t="s">
        <v>67</v>
      </c>
      <c r="D33" s="7" t="s">
        <v>15</v>
      </c>
      <c r="E33" s="7" t="s">
        <v>77</v>
      </c>
      <c r="F33" s="7" t="s">
        <v>78</v>
      </c>
      <c r="G33" s="7" t="s">
        <v>79</v>
      </c>
      <c r="H33" s="7" t="s">
        <v>14</v>
      </c>
    </row>
    <row r="34" customFormat="false" ht="30" hidden="false" customHeight="true" outlineLevel="0" collapsed="false">
      <c r="A34" s="8" t="n">
        <v>46286</v>
      </c>
      <c r="B34" s="9" t="s">
        <v>8</v>
      </c>
      <c r="C34" s="9" t="s">
        <v>80</v>
      </c>
      <c r="D34" s="9" t="s">
        <v>27</v>
      </c>
      <c r="E34" s="9" t="s">
        <v>28</v>
      </c>
      <c r="F34" s="9" t="s">
        <v>81</v>
      </c>
      <c r="G34" s="9" t="s">
        <v>82</v>
      </c>
      <c r="H34" s="9" t="s">
        <v>14</v>
      </c>
    </row>
    <row r="35" customFormat="false" ht="30" hidden="false" customHeight="true" outlineLevel="0" collapsed="false">
      <c r="A35" s="8" t="n">
        <v>46287</v>
      </c>
      <c r="B35" s="9" t="s">
        <v>17</v>
      </c>
      <c r="C35" s="9" t="s">
        <v>80</v>
      </c>
      <c r="D35" s="9" t="s">
        <v>22</v>
      </c>
      <c r="E35" s="9" t="s">
        <v>23</v>
      </c>
      <c r="F35" s="9" t="s">
        <v>83</v>
      </c>
      <c r="G35" s="9" t="s">
        <v>84</v>
      </c>
      <c r="H35" s="9" t="s">
        <v>14</v>
      </c>
    </row>
    <row r="36" customFormat="false" ht="30" hidden="false" customHeight="true" outlineLevel="0" collapsed="false">
      <c r="A36" s="8" t="n">
        <v>46288</v>
      </c>
      <c r="B36" s="9" t="s">
        <v>26</v>
      </c>
      <c r="C36" s="9" t="s">
        <v>80</v>
      </c>
      <c r="D36" s="9" t="s">
        <v>38</v>
      </c>
      <c r="E36" s="9" t="s">
        <v>85</v>
      </c>
      <c r="F36" s="9" t="s">
        <v>86</v>
      </c>
      <c r="G36" s="9" t="s">
        <v>33</v>
      </c>
      <c r="H36" s="9" t="s">
        <v>14</v>
      </c>
    </row>
    <row r="37" customFormat="false" ht="30" hidden="false" customHeight="true" outlineLevel="0" collapsed="false">
      <c r="A37" s="8" t="n">
        <v>46289</v>
      </c>
      <c r="B37" s="9" t="s">
        <v>34</v>
      </c>
      <c r="C37" s="9" t="s">
        <v>80</v>
      </c>
      <c r="D37" s="9" t="s">
        <v>22</v>
      </c>
      <c r="E37" s="9" t="s">
        <v>23</v>
      </c>
      <c r="F37" s="9" t="s">
        <v>87</v>
      </c>
      <c r="G37" s="9" t="s">
        <v>88</v>
      </c>
      <c r="H37" s="9" t="s">
        <v>14</v>
      </c>
    </row>
    <row r="38" customFormat="false" ht="30" hidden="false" customHeight="true" outlineLevel="0" collapsed="false">
      <c r="A38" s="8" t="n">
        <v>46289</v>
      </c>
      <c r="B38" s="9" t="s">
        <v>34</v>
      </c>
      <c r="C38" s="9" t="s">
        <v>80</v>
      </c>
      <c r="D38" s="9" t="s">
        <v>15</v>
      </c>
      <c r="E38" s="9" t="s">
        <v>77</v>
      </c>
      <c r="F38" s="9" t="s">
        <v>89</v>
      </c>
      <c r="G38" s="9" t="s">
        <v>90</v>
      </c>
      <c r="H38" s="9" t="s">
        <v>14</v>
      </c>
    </row>
    <row r="39" customFormat="false" ht="30" hidden="false" customHeight="true" outlineLevel="0" collapsed="false">
      <c r="A39" s="8" t="n">
        <v>46290</v>
      </c>
      <c r="B39" s="9" t="s">
        <v>37</v>
      </c>
      <c r="C39" s="9" t="s">
        <v>80</v>
      </c>
      <c r="D39" s="9" t="s">
        <v>18</v>
      </c>
      <c r="E39" s="9" t="s">
        <v>28</v>
      </c>
      <c r="F39" s="9" t="s">
        <v>91</v>
      </c>
      <c r="G39" s="9" t="s">
        <v>43</v>
      </c>
      <c r="H39" s="9" t="s">
        <v>14</v>
      </c>
    </row>
    <row r="40" customFormat="false" ht="30" hidden="false" customHeight="true" outlineLevel="0" collapsed="false">
      <c r="A40" s="8" t="n">
        <v>46291</v>
      </c>
      <c r="B40" s="9" t="s">
        <v>41</v>
      </c>
      <c r="C40" s="9" t="s">
        <v>80</v>
      </c>
      <c r="D40" s="9" t="s">
        <v>22</v>
      </c>
      <c r="E40" s="9" t="s">
        <v>23</v>
      </c>
      <c r="F40" s="9" t="s">
        <v>92</v>
      </c>
      <c r="G40" s="9" t="s">
        <v>93</v>
      </c>
      <c r="H40" s="9" t="s">
        <v>14</v>
      </c>
    </row>
    <row r="41" customFormat="false" ht="30" hidden="false" customHeight="true" outlineLevel="0" collapsed="false">
      <c r="A41" s="8" t="n">
        <v>46291</v>
      </c>
      <c r="B41" s="9" t="s">
        <v>41</v>
      </c>
      <c r="C41" s="9" t="s">
        <v>80</v>
      </c>
      <c r="D41" s="9" t="s">
        <v>31</v>
      </c>
      <c r="E41" s="9" t="s">
        <v>28</v>
      </c>
      <c r="F41" s="9" t="s">
        <v>94</v>
      </c>
      <c r="G41" s="9" t="s">
        <v>33</v>
      </c>
      <c r="H41" s="9" t="s">
        <v>14</v>
      </c>
    </row>
    <row r="42" customFormat="false" ht="30" hidden="false" customHeight="true" outlineLevel="0" collapsed="false">
      <c r="A42" s="8" t="n">
        <v>46292</v>
      </c>
      <c r="B42" s="9" t="s">
        <v>44</v>
      </c>
      <c r="C42" s="9" t="s">
        <v>80</v>
      </c>
      <c r="D42" s="9" t="s">
        <v>10</v>
      </c>
      <c r="E42" s="9" t="s">
        <v>28</v>
      </c>
      <c r="F42" s="9" t="s">
        <v>95</v>
      </c>
      <c r="G42" s="9" t="s">
        <v>33</v>
      </c>
      <c r="H42" s="9" t="s">
        <v>14</v>
      </c>
    </row>
    <row r="43" customFormat="false" ht="30" hidden="false" customHeight="true" outlineLevel="0" collapsed="false">
      <c r="A43" s="10" t="n">
        <v>46293</v>
      </c>
      <c r="B43" s="11" t="s">
        <v>8</v>
      </c>
      <c r="C43" s="11" t="s">
        <v>96</v>
      </c>
      <c r="D43" s="11" t="s">
        <v>15</v>
      </c>
      <c r="E43" s="11" t="s">
        <v>96</v>
      </c>
      <c r="F43" s="11" t="s">
        <v>97</v>
      </c>
      <c r="G43" s="11" t="s">
        <v>98</v>
      </c>
      <c r="H43" s="11" t="s">
        <v>14</v>
      </c>
    </row>
    <row r="44" customFormat="false" ht="30" hidden="false" customHeight="true" outlineLevel="0" collapsed="false">
      <c r="A44" s="10" t="n">
        <v>46293</v>
      </c>
      <c r="B44" s="11" t="s">
        <v>8</v>
      </c>
      <c r="C44" s="11" t="s">
        <v>96</v>
      </c>
      <c r="D44" s="11" t="s">
        <v>99</v>
      </c>
      <c r="E44" s="11" t="s">
        <v>100</v>
      </c>
      <c r="F44" s="11" t="s">
        <v>101</v>
      </c>
      <c r="G44" s="11" t="s">
        <v>33</v>
      </c>
      <c r="H44" s="11" t="s">
        <v>14</v>
      </c>
    </row>
    <row r="45" customFormat="false" ht="30" hidden="false" customHeight="true" outlineLevel="0" collapsed="false">
      <c r="A45" s="10" t="n">
        <v>46293</v>
      </c>
      <c r="B45" s="11" t="s">
        <v>8</v>
      </c>
      <c r="C45" s="11" t="s">
        <v>96</v>
      </c>
      <c r="D45" s="11" t="s">
        <v>22</v>
      </c>
      <c r="E45" s="11" t="s">
        <v>23</v>
      </c>
      <c r="F45" s="11" t="s">
        <v>102</v>
      </c>
      <c r="G45" s="11" t="s">
        <v>103</v>
      </c>
      <c r="H45" s="11" t="s">
        <v>14</v>
      </c>
    </row>
    <row r="46" customFormat="false" ht="30" hidden="false" customHeight="true" outlineLevel="0" collapsed="false">
      <c r="A46" s="10" t="n">
        <v>46293</v>
      </c>
      <c r="B46" s="11" t="s">
        <v>8</v>
      </c>
      <c r="C46" s="11" t="s">
        <v>96</v>
      </c>
      <c r="D46" s="11" t="s">
        <v>27</v>
      </c>
      <c r="E46" s="11" t="s">
        <v>28</v>
      </c>
      <c r="F46" s="11" t="s">
        <v>104</v>
      </c>
      <c r="G46" s="11" t="s">
        <v>105</v>
      </c>
      <c r="H46" s="11" t="s">
        <v>14</v>
      </c>
    </row>
    <row r="47" customFormat="false" ht="30" hidden="false" customHeight="true" outlineLevel="0" collapsed="false">
      <c r="A47" s="10" t="n">
        <v>46293</v>
      </c>
      <c r="B47" s="11" t="s">
        <v>8</v>
      </c>
      <c r="C47" s="11" t="s">
        <v>96</v>
      </c>
      <c r="D47" s="11" t="s">
        <v>18</v>
      </c>
      <c r="E47" s="11" t="s">
        <v>28</v>
      </c>
      <c r="F47" s="11" t="s">
        <v>106</v>
      </c>
      <c r="G47" s="11" t="s">
        <v>33</v>
      </c>
      <c r="H47" s="11" t="s">
        <v>14</v>
      </c>
    </row>
    <row r="48" customFormat="false" ht="30" hidden="false" customHeight="true" outlineLevel="0" collapsed="false">
      <c r="A48" s="10" t="n">
        <v>46293</v>
      </c>
      <c r="B48" s="11" t="s">
        <v>8</v>
      </c>
      <c r="C48" s="11" t="s">
        <v>96</v>
      </c>
      <c r="D48" s="11" t="s">
        <v>107</v>
      </c>
      <c r="E48" s="11" t="s">
        <v>28</v>
      </c>
      <c r="F48" s="11" t="s">
        <v>108</v>
      </c>
      <c r="G48" s="11" t="s">
        <v>33</v>
      </c>
      <c r="H48" s="11" t="s">
        <v>14</v>
      </c>
    </row>
    <row r="49" customFormat="false" ht="30" hidden="false" customHeight="true" outlineLevel="0" collapsed="false">
      <c r="A49" s="10" t="n">
        <v>46293</v>
      </c>
      <c r="B49" s="11" t="s">
        <v>8</v>
      </c>
      <c r="C49" s="11" t="s">
        <v>96</v>
      </c>
      <c r="D49" s="11" t="s">
        <v>10</v>
      </c>
      <c r="E49" s="11" t="s">
        <v>109</v>
      </c>
      <c r="F49" s="11" t="s">
        <v>110</v>
      </c>
      <c r="G49" s="11" t="s">
        <v>111</v>
      </c>
      <c r="H49" s="11" t="s">
        <v>14</v>
      </c>
    </row>
    <row r="50" customFormat="false" ht="30" hidden="false" customHeight="true" outlineLevel="0" collapsed="false">
      <c r="A50" s="12" t="n">
        <v>46294</v>
      </c>
      <c r="B50" s="13" t="s">
        <v>17</v>
      </c>
      <c r="C50" s="13" t="s">
        <v>112</v>
      </c>
      <c r="D50" s="13" t="s">
        <v>10</v>
      </c>
      <c r="E50" s="13" t="s">
        <v>28</v>
      </c>
      <c r="F50" s="13" t="s">
        <v>113</v>
      </c>
      <c r="G50" s="13" t="s">
        <v>114</v>
      </c>
      <c r="H50" s="13" t="s">
        <v>14</v>
      </c>
    </row>
    <row r="51" customFormat="false" ht="30" hidden="false" customHeight="true" outlineLevel="0" collapsed="false">
      <c r="A51" s="12" t="n">
        <v>46295</v>
      </c>
      <c r="B51" s="13" t="s">
        <v>26</v>
      </c>
      <c r="C51" s="13" t="s">
        <v>112</v>
      </c>
      <c r="D51" s="13" t="s">
        <v>115</v>
      </c>
      <c r="E51" s="13" t="s">
        <v>28</v>
      </c>
      <c r="F51" s="13" t="s">
        <v>116</v>
      </c>
      <c r="G51" s="13" t="s">
        <v>114</v>
      </c>
      <c r="H51" s="13" t="s">
        <v>14</v>
      </c>
    </row>
    <row r="52" customFormat="false" ht="30" hidden="false" customHeight="true" outlineLevel="0" collapsed="false">
      <c r="A52" s="12" t="n">
        <v>46296</v>
      </c>
      <c r="B52" s="13" t="s">
        <v>34</v>
      </c>
      <c r="C52" s="13" t="s">
        <v>112</v>
      </c>
      <c r="D52" s="13" t="s">
        <v>22</v>
      </c>
      <c r="E52" s="13" t="s">
        <v>23</v>
      </c>
      <c r="F52" s="13" t="s">
        <v>117</v>
      </c>
      <c r="G52" s="13" t="s">
        <v>118</v>
      </c>
      <c r="H52" s="13" t="s">
        <v>14</v>
      </c>
    </row>
    <row r="53" customFormat="false" ht="30" hidden="false" customHeight="true" outlineLevel="0" collapsed="false">
      <c r="A53" s="12" t="n">
        <v>46296</v>
      </c>
      <c r="B53" s="13" t="s">
        <v>34</v>
      </c>
      <c r="C53" s="13" t="s">
        <v>112</v>
      </c>
      <c r="D53" s="13" t="s">
        <v>10</v>
      </c>
      <c r="E53" s="13" t="s">
        <v>119</v>
      </c>
      <c r="F53" s="13" t="s">
        <v>120</v>
      </c>
      <c r="G53" s="13" t="s">
        <v>114</v>
      </c>
      <c r="H53" s="13" t="s">
        <v>14</v>
      </c>
    </row>
    <row r="54" customFormat="false" ht="30" hidden="false" customHeight="true" outlineLevel="0" collapsed="false">
      <c r="A54" s="12" t="n">
        <v>46299</v>
      </c>
      <c r="B54" s="13" t="s">
        <v>44</v>
      </c>
      <c r="C54" s="13" t="s">
        <v>112</v>
      </c>
      <c r="D54" s="13" t="s">
        <v>115</v>
      </c>
      <c r="E54" s="13" t="s">
        <v>28</v>
      </c>
      <c r="F54" s="13" t="s">
        <v>121</v>
      </c>
      <c r="G54" s="13" t="s">
        <v>114</v>
      </c>
      <c r="H54" s="13" t="s">
        <v>14</v>
      </c>
    </row>
  </sheetData>
  <autoFilter ref="A1:H54"/>
  <dataValidations count="1">
    <dataValidation allowBlank="true" errorStyle="stop" operator="between" showDropDown="false" showErrorMessage="false" showInputMessage="false" sqref="H2:H54" type="list">
      <formula1>"Not started,Scheduled,Posted,Skipped"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4" t="s">
        <v>122</v>
      </c>
    </row>
    <row r="2" customFormat="false" ht="15" hidden="false" customHeight="false" outlineLevel="0" collapsed="false">
      <c r="A2" s="15" t="s">
        <v>123</v>
      </c>
    </row>
    <row r="4" customFormat="false" ht="15" hidden="false" customHeight="false" outlineLevel="0" collapsed="false">
      <c r="A4" s="16" t="s">
        <v>124</v>
      </c>
    </row>
    <row r="5" customFormat="false" ht="15" hidden="false" customHeight="false" outlineLevel="0" collapsed="false">
      <c r="A5" s="17" t="s">
        <v>14</v>
      </c>
      <c r="B5" s="17" t="n">
        <f aca="false">COUNTIF(Calendar!H2:H54,A5)</f>
        <v>53</v>
      </c>
    </row>
    <row r="6" customFormat="false" ht="15" hidden="false" customHeight="false" outlineLevel="0" collapsed="false">
      <c r="A6" s="17" t="s">
        <v>125</v>
      </c>
      <c r="B6" s="17" t="n">
        <f aca="false">COUNTIF(Calendar!H2:H54,A6)</f>
        <v>0</v>
      </c>
    </row>
    <row r="7" customFormat="false" ht="15" hidden="false" customHeight="false" outlineLevel="0" collapsed="false">
      <c r="A7" s="17" t="s">
        <v>126</v>
      </c>
      <c r="B7" s="17" t="n">
        <f aca="false">COUNTIF(Calendar!H2:H54,A7)</f>
        <v>0</v>
      </c>
    </row>
    <row r="8" customFormat="false" ht="15" hidden="false" customHeight="false" outlineLevel="0" collapsed="false">
      <c r="A8" s="17" t="s">
        <v>127</v>
      </c>
      <c r="B8" s="17" t="n">
        <f aca="false">COUNTIF(Calendar!H2:H54,A8)</f>
        <v>0</v>
      </c>
    </row>
    <row r="9" customFormat="false" ht="15" hidden="false" customHeight="false" outlineLevel="0" collapsed="false">
      <c r="A9" s="18" t="s">
        <v>128</v>
      </c>
      <c r="B9" s="18" t="n">
        <f aca="false">SUM(B5:B8)</f>
        <v>53</v>
      </c>
    </row>
    <row r="11" customFormat="false" ht="15" hidden="false" customHeight="false" outlineLevel="0" collapsed="false">
      <c r="A11" s="16" t="s">
        <v>129</v>
      </c>
    </row>
    <row r="12" customFormat="false" ht="15" hidden="false" customHeight="false" outlineLevel="0" collapsed="false">
      <c r="A12" s="17" t="s">
        <v>9</v>
      </c>
      <c r="B12" s="17" t="n">
        <f aca="false">COUNTIF(Calendar!C2:C54,A12)</f>
        <v>10</v>
      </c>
    </row>
    <row r="13" customFormat="false" ht="15" hidden="false" customHeight="false" outlineLevel="0" collapsed="false">
      <c r="A13" s="17" t="s">
        <v>47</v>
      </c>
      <c r="B13" s="17" t="n">
        <f aca="false">COUNTIF(Calendar!C2:C54,A13)</f>
        <v>14</v>
      </c>
    </row>
    <row r="14" customFormat="false" ht="15" hidden="false" customHeight="false" outlineLevel="0" collapsed="false">
      <c r="A14" s="17" t="s">
        <v>67</v>
      </c>
      <c r="B14" s="17" t="n">
        <f aca="false">COUNTIF(Calendar!C2:C54,A14)</f>
        <v>8</v>
      </c>
    </row>
    <row r="15" customFormat="false" ht="15" hidden="false" customHeight="false" outlineLevel="0" collapsed="false">
      <c r="A15" s="17" t="s">
        <v>80</v>
      </c>
      <c r="B15" s="17" t="n">
        <f aca="false">COUNTIF(Calendar!C2:C54,A15)</f>
        <v>9</v>
      </c>
    </row>
    <row r="16" customFormat="false" ht="15" hidden="false" customHeight="false" outlineLevel="0" collapsed="false">
      <c r="A16" s="17" t="s">
        <v>96</v>
      </c>
      <c r="B16" s="17" t="n">
        <f aca="false">COUNTIF(Calendar!C2:C54,A16)</f>
        <v>7</v>
      </c>
    </row>
    <row r="17" customFormat="false" ht="15" hidden="false" customHeight="false" outlineLevel="0" collapsed="false">
      <c r="A17" s="17" t="s">
        <v>112</v>
      </c>
      <c r="B17" s="17" t="n">
        <f aca="false">COUNTIF(Calendar!C2:C54,A17)</f>
        <v>5</v>
      </c>
    </row>
    <row r="19" customFormat="false" ht="15" hidden="false" customHeight="false" outlineLevel="0" collapsed="false">
      <c r="A19" s="19" t="s">
        <v>130</v>
      </c>
    </row>
    <row r="20" customFormat="false" ht="15" hidden="false" customHeight="false" outlineLevel="0" collapsed="false">
      <c r="A20" s="17" t="s">
        <v>131</v>
      </c>
      <c r="B20" s="17" t="n">
        <f aca="false">SUMPRODUCT(--ISNUMBER(SEARCH("TikTok",Calendar!D2:D54)))</f>
        <v>17</v>
      </c>
    </row>
    <row r="21" customFormat="false" ht="15" hidden="false" customHeight="false" outlineLevel="0" collapsed="false">
      <c r="A21" s="17" t="s">
        <v>132</v>
      </c>
      <c r="B21" s="17" t="n">
        <f aca="false">SUMPRODUCT(--ISNUMBER(SEARCH("IG Reels",Calendar!D2:D54)))</f>
        <v>17</v>
      </c>
    </row>
    <row r="22" customFormat="false" ht="15" hidden="false" customHeight="false" outlineLevel="0" collapsed="false">
      <c r="A22" s="17" t="s">
        <v>133</v>
      </c>
      <c r="B22" s="17" t="n">
        <f aca="false">SUMPRODUCT(--ISNUMBER(SEARCH("YT Shorts",Calendar!D2:D54)))</f>
        <v>17</v>
      </c>
    </row>
    <row r="23" customFormat="false" ht="15" hidden="false" customHeight="false" outlineLevel="0" collapsed="false">
      <c r="A23" s="17" t="s">
        <v>27</v>
      </c>
      <c r="B23" s="17" t="n">
        <f aca="false">SUMPRODUCT(--ISNUMBER(SEARCH("X",Calendar!D2:D54)))</f>
        <v>9</v>
      </c>
    </row>
    <row r="24" customFormat="false" ht="15" hidden="false" customHeight="false" outlineLevel="0" collapsed="false">
      <c r="A24" s="17" t="s">
        <v>18</v>
      </c>
      <c r="B24" s="17" t="n">
        <f aca="false">SUMPRODUCT(--ISNUMBER(SEARCH("Reddit",Calendar!D2:D54)))</f>
        <v>7</v>
      </c>
    </row>
    <row r="25" customFormat="false" ht="15" hidden="false" customHeight="false" outlineLevel="0" collapsed="false">
      <c r="A25" s="17" t="s">
        <v>31</v>
      </c>
      <c r="B25" s="17" t="n">
        <f aca="false">SUMPRODUCT(--ISNUMBER(SEARCH("LinkedIn",Calendar!D2:D54)))</f>
        <v>8</v>
      </c>
    </row>
    <row r="26" customFormat="false" ht="15" hidden="false" customHeight="false" outlineLevel="0" collapsed="false">
      <c r="A26" s="17" t="s">
        <v>38</v>
      </c>
      <c r="B26" s="17" t="n">
        <f aca="false">SUMPRODUCT(--ISNUMBER(SEARCH("Facebook",Calendar!D2:D54)))</f>
        <v>4</v>
      </c>
    </row>
    <row r="27" customFormat="false" ht="15" hidden="false" customHeight="false" outlineLevel="0" collapsed="false">
      <c r="A27" s="17" t="s">
        <v>15</v>
      </c>
      <c r="B27" s="17" t="n">
        <f aca="false">SUMPRODUCT(--ISNUMBER(SEARCH("Product Hunt",Calendar!D2:D54)))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44"/>
  </cols>
  <sheetData>
    <row r="1" customFormat="false" ht="19.5" hidden="false" customHeight="true" outlineLevel="0" collapsed="false">
      <c r="A1" s="20" t="s">
        <v>0</v>
      </c>
      <c r="B1" s="20" t="s">
        <v>134</v>
      </c>
      <c r="C1" s="20" t="s">
        <v>135</v>
      </c>
      <c r="D1" s="20" t="s">
        <v>136</v>
      </c>
      <c r="E1" s="20" t="s">
        <v>137</v>
      </c>
      <c r="F1" s="20" t="s">
        <v>138</v>
      </c>
      <c r="G1" s="20" t="s">
        <v>139</v>
      </c>
      <c r="H1" s="20" t="s">
        <v>140</v>
      </c>
    </row>
    <row r="2" customFormat="false" ht="94.5" hidden="false" customHeight="true" outlineLevel="0" collapsed="false">
      <c r="A2" s="21" t="n">
        <v>46259</v>
      </c>
      <c r="B2" s="22" t="s">
        <v>141</v>
      </c>
      <c r="C2" s="22" t="s">
        <v>142</v>
      </c>
      <c r="D2" s="22" t="s">
        <v>143</v>
      </c>
      <c r="E2" s="22" t="s">
        <v>144</v>
      </c>
      <c r="F2" s="22" t="s">
        <v>145</v>
      </c>
      <c r="G2" s="22" t="s">
        <v>146</v>
      </c>
      <c r="H2" s="22" t="s">
        <v>147</v>
      </c>
    </row>
    <row r="3" customFormat="false" ht="94.5" hidden="false" customHeight="true" outlineLevel="0" collapsed="false">
      <c r="A3" s="23" t="n">
        <v>46261</v>
      </c>
      <c r="B3" s="24" t="s">
        <v>148</v>
      </c>
      <c r="C3" s="24" t="s">
        <v>149</v>
      </c>
      <c r="D3" s="24" t="s">
        <v>150</v>
      </c>
      <c r="E3" s="24" t="s">
        <v>151</v>
      </c>
      <c r="F3" s="24" t="s">
        <v>152</v>
      </c>
      <c r="G3" s="24" t="s">
        <v>153</v>
      </c>
      <c r="H3" s="24" t="s">
        <v>154</v>
      </c>
    </row>
    <row r="4" customFormat="false" ht="94.5" hidden="false" customHeight="true" outlineLevel="0" collapsed="false">
      <c r="A4" s="21" t="n">
        <v>46263</v>
      </c>
      <c r="B4" s="22" t="s">
        <v>155</v>
      </c>
      <c r="C4" s="22" t="s">
        <v>156</v>
      </c>
      <c r="D4" s="22" t="s">
        <v>157</v>
      </c>
      <c r="E4" s="22" t="s">
        <v>158</v>
      </c>
      <c r="F4" s="22" t="s">
        <v>159</v>
      </c>
      <c r="G4" s="22" t="s">
        <v>160</v>
      </c>
      <c r="H4" s="22" t="s">
        <v>161</v>
      </c>
    </row>
    <row r="5" customFormat="false" ht="94.5" hidden="false" customHeight="true" outlineLevel="0" collapsed="false">
      <c r="A5" s="23" t="n">
        <v>46266</v>
      </c>
      <c r="B5" s="24" t="s">
        <v>162</v>
      </c>
      <c r="C5" s="24" t="s">
        <v>149</v>
      </c>
      <c r="D5" s="24" t="s">
        <v>163</v>
      </c>
      <c r="E5" s="24" t="s">
        <v>164</v>
      </c>
      <c r="F5" s="24" t="s">
        <v>165</v>
      </c>
      <c r="G5" s="24" t="s">
        <v>166</v>
      </c>
      <c r="H5" s="24" t="s">
        <v>167</v>
      </c>
    </row>
    <row r="6" customFormat="false" ht="94.5" hidden="false" customHeight="true" outlineLevel="0" collapsed="false">
      <c r="A6" s="21" t="n">
        <v>46268</v>
      </c>
      <c r="B6" s="22" t="s">
        <v>168</v>
      </c>
      <c r="C6" s="22" t="s">
        <v>142</v>
      </c>
      <c r="D6" s="22" t="s">
        <v>169</v>
      </c>
      <c r="E6" s="22" t="s">
        <v>170</v>
      </c>
      <c r="F6" s="22" t="s">
        <v>171</v>
      </c>
      <c r="G6" s="22" t="s">
        <v>172</v>
      </c>
      <c r="H6" s="22" t="s">
        <v>173</v>
      </c>
    </row>
    <row r="7" customFormat="false" ht="94.5" hidden="false" customHeight="true" outlineLevel="0" collapsed="false">
      <c r="A7" s="23" t="n">
        <v>46270</v>
      </c>
      <c r="B7" s="24" t="s">
        <v>174</v>
      </c>
      <c r="C7" s="24" t="s">
        <v>175</v>
      </c>
      <c r="D7" s="24" t="s">
        <v>176</v>
      </c>
      <c r="E7" s="24" t="s">
        <v>177</v>
      </c>
      <c r="F7" s="24" t="s">
        <v>178</v>
      </c>
      <c r="G7" s="24" t="s">
        <v>179</v>
      </c>
      <c r="H7" s="24" t="s">
        <v>180</v>
      </c>
    </row>
    <row r="8" customFormat="false" ht="94.5" hidden="false" customHeight="true" outlineLevel="0" collapsed="false">
      <c r="A8" s="21" t="n">
        <v>46273</v>
      </c>
      <c r="B8" s="22" t="s">
        <v>181</v>
      </c>
      <c r="C8" s="22" t="s">
        <v>149</v>
      </c>
      <c r="D8" s="22" t="s">
        <v>182</v>
      </c>
      <c r="E8" s="22" t="s">
        <v>183</v>
      </c>
      <c r="F8" s="22" t="s">
        <v>184</v>
      </c>
      <c r="G8" s="22" t="s">
        <v>185</v>
      </c>
      <c r="H8" s="22" t="s">
        <v>186</v>
      </c>
    </row>
    <row r="9" customFormat="false" ht="94.5" hidden="false" customHeight="true" outlineLevel="0" collapsed="false">
      <c r="A9" s="23" t="n">
        <v>46275</v>
      </c>
      <c r="B9" s="24" t="s">
        <v>187</v>
      </c>
      <c r="C9" s="24" t="s">
        <v>149</v>
      </c>
      <c r="D9" s="24" t="s">
        <v>188</v>
      </c>
      <c r="E9" s="24" t="s">
        <v>189</v>
      </c>
      <c r="F9" s="24" t="s">
        <v>190</v>
      </c>
      <c r="G9" s="24" t="s">
        <v>191</v>
      </c>
      <c r="H9" s="24" t="s">
        <v>192</v>
      </c>
    </row>
    <row r="10" customFormat="false" ht="94.5" hidden="false" customHeight="true" outlineLevel="0" collapsed="false">
      <c r="A10" s="21" t="n">
        <v>46277</v>
      </c>
      <c r="B10" s="22" t="s">
        <v>193</v>
      </c>
      <c r="C10" s="22" t="s">
        <v>142</v>
      </c>
      <c r="D10" s="22" t="s">
        <v>194</v>
      </c>
      <c r="E10" s="22" t="s">
        <v>195</v>
      </c>
      <c r="F10" s="22" t="s">
        <v>196</v>
      </c>
      <c r="G10" s="22" t="s">
        <v>197</v>
      </c>
      <c r="H10" s="22" t="s">
        <v>198</v>
      </c>
    </row>
    <row r="11" customFormat="false" ht="94.5" hidden="false" customHeight="true" outlineLevel="0" collapsed="false">
      <c r="A11" s="23" t="n">
        <v>46280</v>
      </c>
      <c r="B11" s="24" t="s">
        <v>199</v>
      </c>
      <c r="C11" s="24" t="s">
        <v>149</v>
      </c>
      <c r="D11" s="24" t="s">
        <v>200</v>
      </c>
      <c r="E11" s="24" t="s">
        <v>201</v>
      </c>
      <c r="F11" s="24" t="s">
        <v>202</v>
      </c>
      <c r="G11" s="24" t="s">
        <v>203</v>
      </c>
      <c r="H11" s="24" t="s">
        <v>204</v>
      </c>
    </row>
    <row r="12" customFormat="false" ht="94.5" hidden="false" customHeight="true" outlineLevel="0" collapsed="false">
      <c r="A12" s="21" t="n">
        <v>46282</v>
      </c>
      <c r="B12" s="22" t="s">
        <v>205</v>
      </c>
      <c r="C12" s="22" t="s">
        <v>175</v>
      </c>
      <c r="D12" s="22" t="s">
        <v>206</v>
      </c>
      <c r="E12" s="22" t="s">
        <v>207</v>
      </c>
      <c r="F12" s="22" t="s">
        <v>208</v>
      </c>
      <c r="G12" s="22" t="s">
        <v>209</v>
      </c>
      <c r="H12" s="22" t="s">
        <v>210</v>
      </c>
    </row>
    <row r="13" customFormat="false" ht="94.5" hidden="false" customHeight="true" outlineLevel="0" collapsed="false">
      <c r="A13" s="23" t="n">
        <v>46284</v>
      </c>
      <c r="B13" s="24" t="s">
        <v>211</v>
      </c>
      <c r="C13" s="24" t="s">
        <v>149</v>
      </c>
      <c r="D13" s="24" t="s">
        <v>212</v>
      </c>
      <c r="E13" s="24" t="s">
        <v>213</v>
      </c>
      <c r="F13" s="24" t="s">
        <v>214</v>
      </c>
      <c r="G13" s="24" t="s">
        <v>215</v>
      </c>
      <c r="H13" s="24" t="s">
        <v>216</v>
      </c>
    </row>
    <row r="14" customFormat="false" ht="94.5" hidden="false" customHeight="true" outlineLevel="0" collapsed="false">
      <c r="A14" s="21" t="n">
        <v>46287</v>
      </c>
      <c r="B14" s="22" t="s">
        <v>217</v>
      </c>
      <c r="C14" s="22" t="s">
        <v>156</v>
      </c>
      <c r="D14" s="22" t="s">
        <v>218</v>
      </c>
      <c r="E14" s="22" t="s">
        <v>219</v>
      </c>
      <c r="F14" s="22" t="s">
        <v>220</v>
      </c>
      <c r="G14" s="22" t="s">
        <v>221</v>
      </c>
      <c r="H14" s="22" t="s">
        <v>222</v>
      </c>
    </row>
    <row r="15" customFormat="false" ht="94.5" hidden="false" customHeight="true" outlineLevel="0" collapsed="false">
      <c r="A15" s="23" t="n">
        <v>46289</v>
      </c>
      <c r="B15" s="24" t="s">
        <v>223</v>
      </c>
      <c r="C15" s="24" t="s">
        <v>142</v>
      </c>
      <c r="D15" s="24" t="s">
        <v>224</v>
      </c>
      <c r="E15" s="24" t="s">
        <v>225</v>
      </c>
      <c r="F15" s="24" t="s">
        <v>226</v>
      </c>
      <c r="G15" s="24" t="s">
        <v>227</v>
      </c>
      <c r="H15" s="24" t="s">
        <v>228</v>
      </c>
    </row>
    <row r="16" customFormat="false" ht="94.5" hidden="false" customHeight="true" outlineLevel="0" collapsed="false">
      <c r="A16" s="21" t="n">
        <v>46291</v>
      </c>
      <c r="B16" s="22" t="s">
        <v>229</v>
      </c>
      <c r="C16" s="22" t="s">
        <v>230</v>
      </c>
      <c r="D16" s="22" t="s">
        <v>231</v>
      </c>
      <c r="E16" s="22" t="s">
        <v>232</v>
      </c>
      <c r="F16" s="22" t="s">
        <v>233</v>
      </c>
      <c r="G16" s="22" t="s">
        <v>234</v>
      </c>
      <c r="H16" s="22" t="s">
        <v>235</v>
      </c>
    </row>
    <row r="17" customFormat="false" ht="94.5" hidden="false" customHeight="true" outlineLevel="0" collapsed="false">
      <c r="A17" s="23" t="n">
        <v>46293</v>
      </c>
      <c r="B17" s="24" t="s">
        <v>236</v>
      </c>
      <c r="C17" s="24" t="s">
        <v>142</v>
      </c>
      <c r="D17" s="24" t="s">
        <v>237</v>
      </c>
      <c r="E17" s="24" t="s">
        <v>238</v>
      </c>
      <c r="F17" s="24" t="s">
        <v>239</v>
      </c>
      <c r="G17" s="24" t="s">
        <v>240</v>
      </c>
      <c r="H17" s="24" t="s">
        <v>241</v>
      </c>
    </row>
    <row r="18" customFormat="false" ht="94.5" hidden="false" customHeight="true" outlineLevel="0" collapsed="false">
      <c r="A18" s="21" t="n">
        <v>46296</v>
      </c>
      <c r="B18" s="22" t="s">
        <v>242</v>
      </c>
      <c r="C18" s="22" t="s">
        <v>149</v>
      </c>
      <c r="D18" s="22" t="s">
        <v>243</v>
      </c>
      <c r="E18" s="22" t="s">
        <v>244</v>
      </c>
      <c r="F18" s="22" t="s">
        <v>245</v>
      </c>
      <c r="G18" s="22" t="s">
        <v>246</v>
      </c>
      <c r="H18" s="22" t="s">
        <v>247</v>
      </c>
    </row>
  </sheetData>
  <autoFilter ref="A1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2026-08-18T20:54:25Z</dcterms:created>
  <dc:creator>openpyxl</dc:creator>
  <dc:description/>
  <dc:language>en-US</dc:language>
  <cp:lastModifiedBy/>
  <dcterms:modified xsi:type="dcterms:W3CDTF">2026-08-18T20:54:25Z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